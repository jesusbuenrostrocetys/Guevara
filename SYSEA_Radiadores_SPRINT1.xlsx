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álogo Maestro" sheetId="1" state="visible" r:id="rId1"/>
  </sheets>
  <definedNames>
    <definedName name="_xlnm._FilterDatabase" localSheetId="0" hidden="1">'Catálogo Maestro'!$A$1:$U$21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yyyy-mm-dd"/>
    <numFmt numFmtId="166" formatCode="dd/mm/yyyy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49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6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5">
    <dxf>
      <font>
        <color rgb="009C0006"/>
      </font>
      <fill>
        <patternFill patternType="solid">
          <fgColor rgb="00FFC7CE"/>
        </patternFill>
      </fill>
    </dxf>
    <dxf>
      <font>
        <color rgb="00974706"/>
      </font>
      <fill>
        <patternFill patternType="solid">
          <fgColor rgb="00FFCC99"/>
        </patternFill>
      </fill>
    </dxf>
    <dxf>
      <font>
        <color rgb="009C6500"/>
      </font>
      <fill>
        <patternFill patternType="solid">
          <fgColor rgb="00FFEB9C"/>
        </patternFill>
      </fill>
    </dxf>
    <dxf>
      <font>
        <color rgb="00006100"/>
      </font>
      <fill>
        <patternFill patternType="solid">
          <fgColor rgb="00C6EFCE"/>
        </patternFill>
      </fill>
    </dxf>
    <dxf>
      <font>
        <color rgb="003F3F3F"/>
      </font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15" customWidth="1" min="3" max="3"/>
    <col width="12" customWidth="1" min="4" max="4"/>
    <col width="7" customWidth="1" min="5" max="5"/>
    <col width="14" customWidth="1" min="6" max="6"/>
    <col width="15" customWidth="1" min="7" max="7"/>
    <col width="18" customWidth="1" min="8" max="8"/>
    <col width="14" customWidth="1" min="9" max="9"/>
    <col width="16" customWidth="1" min="10" max="10"/>
    <col width="15" customWidth="1" min="11" max="11"/>
    <col width="11" customWidth="1" min="12" max="12"/>
    <col width="12" customWidth="1" min="13" max="13"/>
    <col width="11" customWidth="1" min="14" max="14"/>
    <col width="22" customWidth="1" min="15" max="15"/>
    <col width="16" customWidth="1" min="16" max="16"/>
    <col width="16" customWidth="1" min="17" max="17"/>
    <col width="11" customWidth="1" min="18" max="18"/>
    <col width="12" customWidth="1" min="19" max="19"/>
    <col width="15" customWidth="1" min="20" max="20"/>
    <col width="30" customWidth="1" min="21" max="21"/>
  </cols>
  <sheetData>
    <row r="1" ht="32" customHeight="1">
      <c r="A1" s="1" t="inlineStr">
        <is>
          <t>DPI</t>
        </is>
      </c>
      <c r="B1" s="1" t="inlineStr">
        <is>
          <t>Descripción</t>
        </is>
      </c>
      <c r="C1" s="1" t="inlineStr">
        <is>
          <t>Marca</t>
        </is>
      </c>
      <c r="D1" s="1" t="inlineStr">
        <is>
          <t>Modelo</t>
        </is>
      </c>
      <c r="E1" s="1" t="inlineStr">
        <is>
          <t>Año</t>
        </is>
      </c>
      <c r="F1" s="1" t="inlineStr">
        <is>
          <t>Precio Compra</t>
        </is>
      </c>
      <c r="G1" s="1" t="inlineStr">
        <is>
          <t>Precio AutoZone</t>
        </is>
      </c>
      <c r="H1" s="2" t="inlineStr">
        <is>
          <t>Precio Cliente Final</t>
        </is>
      </c>
      <c r="I1" s="2" t="inlineStr">
        <is>
          <t>Precio Taller</t>
        </is>
      </c>
      <c r="J1" s="2" t="inlineStr">
        <is>
          <t>Utilidad Cliente</t>
        </is>
      </c>
      <c r="K1" s="2" t="inlineStr">
        <is>
          <t>Utilidad Taller</t>
        </is>
      </c>
      <c r="L1" s="1" t="inlineStr">
        <is>
          <t>Stock Actual</t>
        </is>
      </c>
      <c r="M1" s="1" t="inlineStr">
        <is>
          <t>Stock Mínimo</t>
        </is>
      </c>
      <c r="N1" s="1" t="inlineStr">
        <is>
          <t>Stock Ideal</t>
        </is>
      </c>
      <c r="O1" s="1" t="inlineStr">
        <is>
          <t>Proveedor Principal</t>
        </is>
      </c>
      <c r="P1" s="1" t="inlineStr">
        <is>
          <t>Fecha Última Compra</t>
        </is>
      </c>
      <c r="Q1" s="1" t="inlineStr">
        <is>
          <t>Fecha Última Venta</t>
        </is>
      </c>
      <c r="R1" s="1" t="inlineStr">
        <is>
          <t>Estado</t>
        </is>
      </c>
      <c r="S1" s="2" t="inlineStr">
        <is>
          <t>Rotación</t>
        </is>
      </c>
      <c r="T1" s="2" t="inlineStr">
        <is>
          <t>Alerta AutoZone</t>
        </is>
      </c>
      <c r="U1" s="1" t="inlineStr">
        <is>
          <t>Observaciones</t>
        </is>
      </c>
    </row>
    <row r="2">
      <c r="A2" s="3" t="inlineStr">
        <is>
          <t>RVVW029</t>
        </is>
      </c>
      <c r="B2" s="4" t="inlineStr">
        <is>
          <t>VW Jetta Radiador</t>
        </is>
      </c>
      <c r="C2" s="5" t="inlineStr">
        <is>
          <t>Volkswagen</t>
        </is>
      </c>
      <c r="D2" s="5" t="inlineStr">
        <is>
          <t>Jetta</t>
        </is>
      </c>
      <c r="E2" s="6" t="n">
        <v>2010</v>
      </c>
      <c r="F2" s="7" t="n">
        <v>1500</v>
      </c>
      <c r="G2" s="7" t="n">
        <v>3900</v>
      </c>
      <c r="H2" s="7">
        <f>IF(G2&gt;0,ROUNDUP(IF(G2-F2-250&lt;1200,F2+1200,G2-250)/50,0)*50,ROUNDUP((F2+1500)/50,0)*50)</f>
        <v/>
      </c>
      <c r="I2" s="7">
        <f>ROUNDUP(MAX(F2+800,H2*0.82)/50,0)*50</f>
        <v/>
      </c>
      <c r="J2" s="7">
        <f>H2-F2</f>
        <v/>
      </c>
      <c r="K2" s="7">
        <f>I2-F2</f>
        <v/>
      </c>
      <c r="L2" s="6" t="n">
        <v>3</v>
      </c>
      <c r="M2" s="6" t="n">
        <v>1</v>
      </c>
      <c r="N2" s="6" t="n">
        <v>3</v>
      </c>
      <c r="O2" s="4" t="inlineStr">
        <is>
          <t>Radiadores del Centro</t>
        </is>
      </c>
      <c r="P2" s="8" t="n">
        <v>46185</v>
      </c>
      <c r="Q2" s="8" t="n">
        <v>46175</v>
      </c>
      <c r="R2" s="5" t="inlineStr">
        <is>
          <t>Activo</t>
        </is>
      </c>
      <c r="S2" s="5">
        <f>IF(Q2="","Sin venta",IF(TODAY()-Q2&lt;=90,"Estrella",IF(TODAY()-Q2&lt;=180,"Media",IF(TODAY()-Q2&lt;=365,"Lenta","Muerta"))))</f>
        <v/>
      </c>
      <c r="T2" s="5">
        <f>IF(G2="","Pendiente",IF(G2&gt;0,"OK","Revisar"))</f>
        <v/>
      </c>
      <c r="U2" s="4" t="n"/>
    </row>
    <row r="3">
      <c r="A3" s="3" t="inlineStr">
        <is>
          <t>0050</t>
        </is>
      </c>
      <c r="B3" s="4" t="inlineStr">
        <is>
          <t>Nissan Sentra Radiador</t>
        </is>
      </c>
      <c r="C3" s="5" t="inlineStr">
        <is>
          <t>Nissan</t>
        </is>
      </c>
      <c r="D3" s="5" t="inlineStr">
        <is>
          <t>Sentra</t>
        </is>
      </c>
      <c r="E3" s="6" t="n">
        <v>2015</v>
      </c>
      <c r="F3" s="7" t="n">
        <v>1200</v>
      </c>
      <c r="G3" s="7" t="n">
        <v>3200</v>
      </c>
      <c r="H3" s="7">
        <f>IF(G3&gt;0,ROUNDUP(IF(G3-F3-250&lt;1200,F3+1200,G3-250)/50,0)*50,ROUNDUP((F3+1500)/50,0)*50)</f>
        <v/>
      </c>
      <c r="I3" s="7">
        <f>ROUNDUP(MAX(F3+800,H3*0.82)/50,0)*50</f>
        <v/>
      </c>
      <c r="J3" s="7">
        <f>H3-F3</f>
        <v/>
      </c>
      <c r="K3" s="7">
        <f>I3-F3</f>
        <v/>
      </c>
      <c r="L3" s="6" t="n">
        <v>2</v>
      </c>
      <c r="M3" s="6" t="n">
        <v>1</v>
      </c>
      <c r="N3" s="6" t="n">
        <v>3</v>
      </c>
      <c r="O3" s="4" t="inlineStr">
        <is>
          <t>Radiadores del Centro</t>
        </is>
      </c>
      <c r="P3" s="8" t="n">
        <v>46178</v>
      </c>
      <c r="Q3" s="8" t="n">
        <v>46145</v>
      </c>
      <c r="R3" s="5" t="inlineStr">
        <is>
          <t>Activo</t>
        </is>
      </c>
      <c r="S3" s="5">
        <f>IF(Q3="","Sin venta",IF(TODAY()-Q3&lt;=90,"Estrella",IF(TODAY()-Q3&lt;=180,"Media",IF(TODAY()-Q3&lt;=365,"Lenta","Muerta"))))</f>
        <v/>
      </c>
      <c r="T3" s="5">
        <f>IF(G3="","Pendiente",IF(G3&gt;0,"OK","Revisar"))</f>
        <v/>
      </c>
      <c r="U3" s="4" t="n"/>
    </row>
    <row r="4">
      <c r="A4" s="3" t="inlineStr">
        <is>
          <t>13015</t>
        </is>
      </c>
      <c r="B4" s="4" t="inlineStr">
        <is>
          <t>Chevy Aveo Radiador</t>
        </is>
      </c>
      <c r="C4" s="5" t="inlineStr">
        <is>
          <t>Chevrolet</t>
        </is>
      </c>
      <c r="D4" s="5" t="inlineStr">
        <is>
          <t>Aveo</t>
        </is>
      </c>
      <c r="E4" s="6" t="n">
        <v>2012</v>
      </c>
      <c r="F4" s="7" t="n">
        <v>800</v>
      </c>
      <c r="G4" s="7" t="n">
        <v>2500</v>
      </c>
      <c r="H4" s="7">
        <f>IF(G4&gt;0,ROUNDUP(IF(G4-F4-250&lt;1200,F4+1200,G4-250)/50,0)*50,ROUNDUP((F4+1500)/50,0)*50)</f>
        <v/>
      </c>
      <c r="I4" s="7">
        <f>ROUNDUP(MAX(F4+800,H4*0.82)/50,0)*50</f>
        <v/>
      </c>
      <c r="J4" s="7">
        <f>H4-F4</f>
        <v/>
      </c>
      <c r="K4" s="7">
        <f>I4-F4</f>
        <v/>
      </c>
      <c r="L4" s="6" t="n">
        <v>0</v>
      </c>
      <c r="M4" s="6" t="n">
        <v>1</v>
      </c>
      <c r="N4" s="6" t="n">
        <v>3</v>
      </c>
      <c r="O4" s="4" t="inlineStr">
        <is>
          <t>Radiadores del Centro</t>
        </is>
      </c>
      <c r="P4" s="8" t="n">
        <v>46170</v>
      </c>
      <c r="Q4" s="8" t="n">
        <v>45990</v>
      </c>
      <c r="R4" s="5" t="inlineStr">
        <is>
          <t>Activo</t>
        </is>
      </c>
      <c r="S4" s="5">
        <f>IF(Q4="","Sin venta",IF(TODAY()-Q4&lt;=90,"Estrella",IF(TODAY()-Q4&lt;=180,"Media",IF(TODAY()-Q4&lt;=365,"Lenta","Muerta"))))</f>
        <v/>
      </c>
      <c r="T4" s="5">
        <f>IF(G4="","Pendiente",IF(G4&gt;0,"OK","Revisar"))</f>
        <v/>
      </c>
      <c r="U4" s="4" t="inlineStr">
        <is>
          <t>Reabastecer pronto</t>
        </is>
      </c>
    </row>
    <row r="5">
      <c r="A5" s="3" t="inlineStr">
        <is>
          <t>FORD021</t>
        </is>
      </c>
      <c r="B5" s="4" t="inlineStr">
        <is>
          <t>Ford Focus Radiador</t>
        </is>
      </c>
      <c r="C5" s="5" t="inlineStr">
        <is>
          <t>Ford</t>
        </is>
      </c>
      <c r="D5" s="5" t="inlineStr">
        <is>
          <t>Focus</t>
        </is>
      </c>
      <c r="E5" s="6" t="n">
        <v>2013</v>
      </c>
      <c r="F5" s="7" t="n">
        <v>1350</v>
      </c>
      <c r="G5" s="7" t="n">
        <v>3600</v>
      </c>
      <c r="H5" s="7">
        <f>IF(G5&gt;0,ROUNDUP(IF(G5-F5-250&lt;1200,F5+1200,G5-250)/50,0)*50,ROUNDUP((F5+1500)/50,0)*50)</f>
        <v/>
      </c>
      <c r="I5" s="7">
        <f>ROUNDUP(MAX(F5+800,H5*0.82)/50,0)*50</f>
        <v/>
      </c>
      <c r="J5" s="7">
        <f>H5-F5</f>
        <v/>
      </c>
      <c r="K5" s="7">
        <f>I5-F5</f>
        <v/>
      </c>
      <c r="L5" s="6" t="n">
        <v>1</v>
      </c>
      <c r="M5" s="6" t="n">
        <v>1</v>
      </c>
      <c r="N5" s="6" t="n">
        <v>3</v>
      </c>
      <c r="O5" s="4" t="inlineStr">
        <is>
          <t>Radiadores del Centro</t>
        </is>
      </c>
      <c r="P5" s="8" t="n">
        <v>46187</v>
      </c>
      <c r="Q5" s="5" t="n"/>
      <c r="R5" s="5" t="inlineStr">
        <is>
          <t>Activo</t>
        </is>
      </c>
      <c r="S5" s="5">
        <f>IF(Q5="","Sin venta",IF(TODAY()-Q5&lt;=90,"Estrella",IF(TODAY()-Q5&lt;=180,"Media",IF(TODAY()-Q5&lt;=365,"Lenta","Muerta"))))</f>
        <v/>
      </c>
      <c r="T5" s="5">
        <f>IF(G5="","Pendiente",IF(G5&gt;0,"OK","Revisar"))</f>
        <v/>
      </c>
      <c r="U5" s="4" t="inlineStr">
        <is>
          <t>Recién agregado al catálogo</t>
        </is>
      </c>
    </row>
    <row r="6">
      <c r="A6" s="3" t="inlineStr">
        <is>
          <t>HYUN008</t>
        </is>
      </c>
      <c r="B6" s="4" t="inlineStr">
        <is>
          <t>Hyundai Elantra Radiador</t>
        </is>
      </c>
      <c r="C6" s="5" t="inlineStr">
        <is>
          <t>Hyundai</t>
        </is>
      </c>
      <c r="D6" s="5" t="inlineStr">
        <is>
          <t>Elantra</t>
        </is>
      </c>
      <c r="E6" s="6" t="n">
        <v>2011</v>
      </c>
      <c r="F6" s="7" t="n">
        <v>950</v>
      </c>
      <c r="G6" s="7" t="n">
        <v>2800</v>
      </c>
      <c r="H6" s="7">
        <f>IF(G6&gt;0,ROUNDUP(IF(G6-F6-250&lt;1200,F6+1200,G6-250)/50,0)*50,ROUNDUP((F6+1500)/50,0)*50)</f>
        <v/>
      </c>
      <c r="I6" s="7">
        <f>ROUNDUP(MAX(F6+800,H6*0.82)/50,0)*50</f>
        <v/>
      </c>
      <c r="J6" s="7">
        <f>H6-F6</f>
        <v/>
      </c>
      <c r="K6" s="7">
        <f>I6-F6</f>
        <v/>
      </c>
      <c r="L6" s="6" t="n">
        <v>4</v>
      </c>
      <c r="M6" s="6" t="n">
        <v>1</v>
      </c>
      <c r="N6" s="6" t="n">
        <v>3</v>
      </c>
      <c r="O6" s="4" t="inlineStr">
        <is>
          <t>Radiadores del Centro</t>
        </is>
      </c>
      <c r="P6" s="8" t="n">
        <v>46162</v>
      </c>
      <c r="Q6" s="8" t="n">
        <v>46070</v>
      </c>
      <c r="R6" s="5" t="inlineStr">
        <is>
          <t>Activo</t>
        </is>
      </c>
      <c r="S6" s="5">
        <f>IF(Q6="","Sin venta",IF(TODAY()-Q6&lt;=90,"Estrella",IF(TODAY()-Q6&lt;=180,"Media",IF(TODAY()-Q6&lt;=365,"Lenta","Muerta"))))</f>
        <v/>
      </c>
      <c r="T6" s="5">
        <f>IF(G6="","Pendiente",IF(G6&gt;0,"OK","Revisar"))</f>
        <v/>
      </c>
      <c r="U6" s="4" t="n"/>
    </row>
    <row r="7">
      <c r="A7" s="3" t="inlineStr">
        <is>
          <t>KIA045</t>
        </is>
      </c>
      <c r="B7" s="4" t="inlineStr">
        <is>
          <t>Kia Cerato Radiador</t>
        </is>
      </c>
      <c r="C7" s="5" t="inlineStr">
        <is>
          <t>Kia</t>
        </is>
      </c>
      <c r="D7" s="5" t="inlineStr">
        <is>
          <t>Cerato</t>
        </is>
      </c>
      <c r="E7" s="6" t="n">
        <v>2014</v>
      </c>
      <c r="F7" s="7" t="n">
        <v>1100</v>
      </c>
      <c r="G7" s="7" t="n">
        <v>3100</v>
      </c>
      <c r="H7" s="7">
        <f>IF(G7&gt;0,ROUNDUP(IF(G7-F7-250&lt;1200,F7+1200,G7-250)/50,0)*50,ROUNDUP((F7+1500)/50,0)*50)</f>
        <v/>
      </c>
      <c r="I7" s="7">
        <f>ROUNDUP(MAX(F7+800,H7*0.82)/50,0)*50</f>
        <v/>
      </c>
      <c r="J7" s="7">
        <f>H7-F7</f>
        <v/>
      </c>
      <c r="K7" s="7">
        <f>I7-F7</f>
        <v/>
      </c>
      <c r="L7" s="6" t="n">
        <v>0</v>
      </c>
      <c r="M7" s="6" t="n">
        <v>1</v>
      </c>
      <c r="N7" s="6" t="n">
        <v>3</v>
      </c>
      <c r="O7" s="4" t="inlineStr">
        <is>
          <t>Radiadores del Centro</t>
        </is>
      </c>
      <c r="P7" s="8" t="n">
        <v>46175</v>
      </c>
      <c r="Q7" s="8" t="n">
        <v>45790</v>
      </c>
      <c r="R7" s="5" t="inlineStr">
        <is>
          <t>Activo</t>
        </is>
      </c>
      <c r="S7" s="5">
        <f>IF(Q7="","Sin venta",IF(TODAY()-Q7&lt;=90,"Estrella",IF(TODAY()-Q7&lt;=180,"Media",IF(TODAY()-Q7&lt;=365,"Lenta","Muerta"))))</f>
        <v/>
      </c>
      <c r="T7" s="5">
        <f>IF(G7="","Pendiente",IF(G7&gt;0,"OK","Revisar"))</f>
        <v/>
      </c>
      <c r="U7" s="4" t="inlineStr">
        <is>
          <t>Sin venta &gt;1 año, evaluar descuento</t>
        </is>
      </c>
    </row>
    <row r="8">
      <c r="A8" s="3" t="inlineStr">
        <is>
          <t>MAZU33</t>
        </is>
      </c>
      <c r="B8" s="4" t="inlineStr">
        <is>
          <t>Mazda 3 Radiador</t>
        </is>
      </c>
      <c r="C8" s="5" t="inlineStr">
        <is>
          <t>Mazda</t>
        </is>
      </c>
      <c r="D8" s="5" t="inlineStr">
        <is>
          <t>Mazda 3</t>
        </is>
      </c>
      <c r="E8" s="6" t="n">
        <v>2016</v>
      </c>
      <c r="F8" s="7" t="n">
        <v>1600</v>
      </c>
      <c r="G8" s="7" t="n">
        <v>4200</v>
      </c>
      <c r="H8" s="7">
        <f>IF(G8&gt;0,ROUNDUP(IF(G8-F8-250&lt;1200,F8+1200,G8-250)/50,0)*50,ROUNDUP((F8+1500)/50,0)*50)</f>
        <v/>
      </c>
      <c r="I8" s="7">
        <f>ROUNDUP(MAX(F8+800,H8*0.82)/50,0)*50</f>
        <v/>
      </c>
      <c r="J8" s="7">
        <f>H8-F8</f>
        <v/>
      </c>
      <c r="K8" s="7">
        <f>I8-F8</f>
        <v/>
      </c>
      <c r="L8" s="6" t="n">
        <v>3</v>
      </c>
      <c r="M8" s="6" t="n">
        <v>1</v>
      </c>
      <c r="N8" s="6" t="n">
        <v>3</v>
      </c>
      <c r="O8" s="4" t="inlineStr">
        <is>
          <t>Radiadores del Centro</t>
        </is>
      </c>
      <c r="P8" s="8" t="n">
        <v>46182</v>
      </c>
      <c r="Q8" s="8" t="n">
        <v>46160</v>
      </c>
      <c r="R8" s="5" t="inlineStr">
        <is>
          <t>Activo</t>
        </is>
      </c>
      <c r="S8" s="5">
        <f>IF(Q8="","Sin venta",IF(TODAY()-Q8&lt;=90,"Estrella",IF(TODAY()-Q8&lt;=180,"Media",IF(TODAY()-Q8&lt;=365,"Lenta","Muerta"))))</f>
        <v/>
      </c>
      <c r="T8" s="5">
        <f>IF(G8="","Pendiente",IF(G8&gt;0,"OK","Revisar"))</f>
        <v/>
      </c>
      <c r="U8" s="4" t="n"/>
    </row>
    <row r="9">
      <c r="A9" s="3" t="inlineStr">
        <is>
          <t>MERC77</t>
        </is>
      </c>
      <c r="B9" s="4" t="inlineStr">
        <is>
          <t>Mercedes C200 Radiador</t>
        </is>
      </c>
      <c r="C9" s="5" t="inlineStr">
        <is>
          <t>Mercedes-Benz</t>
        </is>
      </c>
      <c r="D9" s="5" t="inlineStr">
        <is>
          <t>C200</t>
        </is>
      </c>
      <c r="E9" s="6" t="n">
        <v>2012</v>
      </c>
      <c r="F9" s="7" t="n">
        <v>3500</v>
      </c>
      <c r="G9" s="7" t="n">
        <v>8900</v>
      </c>
      <c r="H9" s="7">
        <f>IF(G9&gt;0,ROUNDUP(IF(G9-F9-250&lt;1200,F9+1200,G9-250)/50,0)*50,ROUNDUP((F9+1500)/50,0)*50)</f>
        <v/>
      </c>
      <c r="I9" s="7">
        <f>ROUNDUP(MAX(F9+800,H9*0.82)/50,0)*50</f>
        <v/>
      </c>
      <c r="J9" s="7">
        <f>H9-F9</f>
        <v/>
      </c>
      <c r="K9" s="7">
        <f>I9-F9</f>
        <v/>
      </c>
      <c r="L9" s="6" t="n">
        <v>1</v>
      </c>
      <c r="M9" s="6" t="n">
        <v>1</v>
      </c>
      <c r="N9" s="6" t="n">
        <v>3</v>
      </c>
      <c r="O9" s="4" t="inlineStr">
        <is>
          <t>Radiadores del Centro</t>
        </is>
      </c>
      <c r="P9" s="8" t="n">
        <v>46168</v>
      </c>
      <c r="Q9" s="8" t="n">
        <v>45940</v>
      </c>
      <c r="R9" s="5" t="inlineStr">
        <is>
          <t>Activo</t>
        </is>
      </c>
      <c r="S9" s="5">
        <f>IF(Q9="","Sin venta",IF(TODAY()-Q9&lt;=90,"Estrella",IF(TODAY()-Q9&lt;=180,"Media",IF(TODAY()-Q9&lt;=365,"Lenta","Muerta"))))</f>
        <v/>
      </c>
      <c r="T9" s="5">
        <f>IF(G9="","Pendiente",IF(G9&gt;0,"OK","Revisar"))</f>
        <v/>
      </c>
      <c r="U9" s="4" t="n"/>
    </row>
    <row r="10">
      <c r="A10" s="3" t="inlineStr">
        <is>
          <t>SUBR12</t>
        </is>
      </c>
      <c r="B10" s="4" t="inlineStr">
        <is>
          <t>Subaru Impreza Radiador</t>
        </is>
      </c>
      <c r="C10" s="5" t="inlineStr">
        <is>
          <t>Subaru</t>
        </is>
      </c>
      <c r="D10" s="5" t="inlineStr">
        <is>
          <t>Impreza</t>
        </is>
      </c>
      <c r="E10" s="6" t="n">
        <v>2010</v>
      </c>
      <c r="F10" s="7" t="n">
        <v>1450</v>
      </c>
      <c r="G10" s="7" t="n">
        <v>3700</v>
      </c>
      <c r="H10" s="7">
        <f>IF(G10&gt;0,ROUNDUP(IF(G10-F10-250&lt;1200,F10+1200,G10-250)/50,0)*50,ROUNDUP((F10+1500)/50,0)*50)</f>
        <v/>
      </c>
      <c r="I10" s="7">
        <f>ROUNDUP(MAX(F10+800,H10*0.82)/50,0)*50</f>
        <v/>
      </c>
      <c r="J10" s="7">
        <f>H10-F10</f>
        <v/>
      </c>
      <c r="K10" s="7">
        <f>I10-F10</f>
        <v/>
      </c>
      <c r="L10" s="6" t="n">
        <v>2</v>
      </c>
      <c r="M10" s="6" t="n">
        <v>1</v>
      </c>
      <c r="N10" s="6" t="n">
        <v>3</v>
      </c>
      <c r="O10" s="4" t="inlineStr">
        <is>
          <t>Radiadores del Centro</t>
        </is>
      </c>
      <c r="P10" s="8" t="n">
        <v>46180</v>
      </c>
      <c r="Q10" s="8" t="n">
        <v>46030</v>
      </c>
      <c r="R10" s="5" t="inlineStr">
        <is>
          <t>Activo</t>
        </is>
      </c>
      <c r="S10" s="5">
        <f>IF(Q10="","Sin venta",IF(TODAY()-Q10&lt;=90,"Estrella",IF(TODAY()-Q10&lt;=180,"Media",IF(TODAY()-Q10&lt;=365,"Lenta","Muerta"))))</f>
        <v/>
      </c>
      <c r="T10" s="5">
        <f>IF(G10="","Pendiente",IF(G10&gt;0,"OK","Revisar"))</f>
        <v/>
      </c>
      <c r="U10" s="4" t="n"/>
    </row>
    <row r="11">
      <c r="A11" s="3" t="inlineStr">
        <is>
          <t>TOYO88</t>
        </is>
      </c>
      <c r="B11" s="4" t="inlineStr">
        <is>
          <t>Toyota Corolla Radiador</t>
        </is>
      </c>
      <c r="C11" s="5" t="inlineStr">
        <is>
          <t>Toyota</t>
        </is>
      </c>
      <c r="D11" s="5" t="inlineStr">
        <is>
          <t>Corolla</t>
        </is>
      </c>
      <c r="E11" s="6" t="n">
        <v>2015</v>
      </c>
      <c r="F11" s="7" t="n">
        <v>1300</v>
      </c>
      <c r="G11" s="7" t="n">
        <v>3400</v>
      </c>
      <c r="H11" s="7">
        <f>IF(G11&gt;0,ROUNDUP(IF(G11-F11-250&lt;1200,F11+1200,G11-250)/50,0)*50,ROUNDUP((F11+1500)/50,0)*50)</f>
        <v/>
      </c>
      <c r="I11" s="7">
        <f>ROUNDUP(MAX(F11+800,H11*0.82)/50,0)*50</f>
        <v/>
      </c>
      <c r="J11" s="7">
        <f>H11-F11</f>
        <v/>
      </c>
      <c r="K11" s="7">
        <f>I11-F11</f>
        <v/>
      </c>
      <c r="L11" s="6" t="n">
        <v>4</v>
      </c>
      <c r="M11" s="6" t="n">
        <v>1</v>
      </c>
      <c r="N11" s="6" t="n">
        <v>3</v>
      </c>
      <c r="O11" s="4" t="inlineStr">
        <is>
          <t>Radiadores del Centro</t>
        </is>
      </c>
      <c r="P11" s="8" t="n">
        <v>46172</v>
      </c>
      <c r="Q11" s="8" t="n">
        <v>46115</v>
      </c>
      <c r="R11" s="5" t="inlineStr">
        <is>
          <t>Activo</t>
        </is>
      </c>
      <c r="S11" s="5">
        <f>IF(Q11="","Sin venta",IF(TODAY()-Q11&lt;=90,"Estrella",IF(TODAY()-Q11&lt;=180,"Media",IF(TODAY()-Q11&lt;=365,"Lenta","Muerta"))))</f>
        <v/>
      </c>
      <c r="T11" s="5">
        <f>IF(G11="","Pendiente",IF(G11&gt;0,"OK","Revisar"))</f>
        <v/>
      </c>
      <c r="U11" s="4" t="n"/>
    </row>
    <row r="12">
      <c r="A12" s="3" t="inlineStr">
        <is>
          <t>MITSU19</t>
        </is>
      </c>
      <c r="B12" s="4" t="inlineStr">
        <is>
          <t>Mitsubishi Lancer Radiador</t>
        </is>
      </c>
      <c r="C12" s="5" t="inlineStr">
        <is>
          <t>Mitsubishi</t>
        </is>
      </c>
      <c r="D12" s="5" t="inlineStr">
        <is>
          <t>Lancer</t>
        </is>
      </c>
      <c r="E12" s="6" t="n">
        <v>2011</v>
      </c>
      <c r="F12" s="7" t="n">
        <v>1050</v>
      </c>
      <c r="G12" s="7" t="n">
        <v>2900</v>
      </c>
      <c r="H12" s="7">
        <f>IF(G12&gt;0,ROUNDUP(IF(G12-F12-250&lt;1200,F12+1200,G12-250)/50,0)*50,ROUNDUP((F12+1500)/50,0)*50)</f>
        <v/>
      </c>
      <c r="I12" s="7">
        <f>ROUNDUP(MAX(F12+800,H12*0.82)/50,0)*50</f>
        <v/>
      </c>
      <c r="J12" s="7">
        <f>H12-F12</f>
        <v/>
      </c>
      <c r="K12" s="7">
        <f>I12-F12</f>
        <v/>
      </c>
      <c r="L12" s="6" t="n">
        <v>0</v>
      </c>
      <c r="M12" s="6" t="n">
        <v>1</v>
      </c>
      <c r="N12" s="6" t="n">
        <v>3</v>
      </c>
      <c r="O12" s="4" t="inlineStr">
        <is>
          <t>Radiadores del Centro</t>
        </is>
      </c>
      <c r="P12" s="8" t="n">
        <v>46165</v>
      </c>
      <c r="Q12" s="8" t="n">
        <v>45690</v>
      </c>
      <c r="R12" s="5" t="inlineStr">
        <is>
          <t>Activo</t>
        </is>
      </c>
      <c r="S12" s="5">
        <f>IF(Q12="","Sin venta",IF(TODAY()-Q12&lt;=90,"Estrella",IF(TODAY()-Q12&lt;=180,"Media",IF(TODAY()-Q12&lt;=365,"Lenta","Muerta"))))</f>
        <v/>
      </c>
      <c r="T12" s="5">
        <f>IF(G12="","Pendiente",IF(G12&gt;0,"OK","Revisar"))</f>
        <v/>
      </c>
      <c r="U12" s="4" t="inlineStr">
        <is>
          <t>Sin movimiento, revisar</t>
        </is>
      </c>
    </row>
    <row r="13">
      <c r="A13" s="3" t="inlineStr">
        <is>
          <t>VOLKS30</t>
        </is>
      </c>
      <c r="B13" s="4" t="inlineStr">
        <is>
          <t>VW Passat Radiador</t>
        </is>
      </c>
      <c r="C13" s="5" t="inlineStr">
        <is>
          <t>Volkswagen</t>
        </is>
      </c>
      <c r="D13" s="5" t="inlineStr">
        <is>
          <t>Passat</t>
        </is>
      </c>
      <c r="E13" s="6" t="n">
        <v>2009</v>
      </c>
      <c r="F13" s="7" t="n">
        <v>2000</v>
      </c>
      <c r="G13" s="7" t="n">
        <v>5200</v>
      </c>
      <c r="H13" s="7">
        <f>IF(G13&gt;0,ROUNDUP(IF(G13-F13-250&lt;1200,F13+1200,G13-250)/50,0)*50,ROUNDUP((F13+1500)/50,0)*50)</f>
        <v/>
      </c>
      <c r="I13" s="7">
        <f>ROUNDUP(MAX(F13+800,H13*0.82)/50,0)*50</f>
        <v/>
      </c>
      <c r="J13" s="7">
        <f>H13-F13</f>
        <v/>
      </c>
      <c r="K13" s="7">
        <f>I13-F13</f>
        <v/>
      </c>
      <c r="L13" s="6" t="n">
        <v>2</v>
      </c>
      <c r="M13" s="6" t="n">
        <v>1</v>
      </c>
      <c r="N13" s="6" t="n">
        <v>3</v>
      </c>
      <c r="O13" s="4" t="inlineStr">
        <is>
          <t>Radiadores del Centro</t>
        </is>
      </c>
      <c r="P13" s="8" t="n">
        <v>46184</v>
      </c>
      <c r="Q13" s="5" t="n"/>
      <c r="R13" s="5" t="inlineStr">
        <is>
          <t>Activo</t>
        </is>
      </c>
      <c r="S13" s="5">
        <f>IF(Q13="","Sin venta",IF(TODAY()-Q13&lt;=90,"Estrella",IF(TODAY()-Q13&lt;=180,"Media",IF(TODAY()-Q13&lt;=365,"Lenta","Muerta"))))</f>
        <v/>
      </c>
      <c r="T13" s="5">
        <f>IF(G13="","Pendiente",IF(G13&gt;0,"OK","Revisar"))</f>
        <v/>
      </c>
      <c r="U13" s="4" t="inlineStr">
        <is>
          <t>Producto nuevo en catálogo</t>
        </is>
      </c>
    </row>
    <row r="14">
      <c r="A14" s="3" t="inlineStr">
        <is>
          <t>CHRY55</t>
        </is>
      </c>
      <c r="B14" s="4" t="inlineStr">
        <is>
          <t>Chrysler Neon Radiador</t>
        </is>
      </c>
      <c r="C14" s="5" t="inlineStr">
        <is>
          <t>Chrysler</t>
        </is>
      </c>
      <c r="D14" s="5" t="inlineStr">
        <is>
          <t>Neon</t>
        </is>
      </c>
      <c r="E14" s="6" t="n">
        <v>2008</v>
      </c>
      <c r="F14" s="7" t="n">
        <v>700</v>
      </c>
      <c r="G14" s="7" t="n">
        <v>2200</v>
      </c>
      <c r="H14" s="7">
        <f>IF(G14&gt;0,ROUNDUP(IF(G14-F14-250&lt;1200,F14+1200,G14-250)/50,0)*50,ROUNDUP((F14+1500)/50,0)*50)</f>
        <v/>
      </c>
      <c r="I14" s="7">
        <f>ROUNDUP(MAX(F14+800,H14*0.82)/50,0)*50</f>
        <v/>
      </c>
      <c r="J14" s="7">
        <f>H14-F14</f>
        <v/>
      </c>
      <c r="K14" s="7">
        <f>I14-F14</f>
        <v/>
      </c>
      <c r="L14" s="6" t="n">
        <v>1</v>
      </c>
      <c r="M14" s="6" t="n">
        <v>1</v>
      </c>
      <c r="N14" s="6" t="n">
        <v>3</v>
      </c>
      <c r="O14" s="4" t="inlineStr">
        <is>
          <t>Radiadores del Centro</t>
        </is>
      </c>
      <c r="P14" s="8" t="n">
        <v>46176</v>
      </c>
      <c r="Q14" s="8" t="n">
        <v>45840</v>
      </c>
      <c r="R14" s="5" t="inlineStr">
        <is>
          <t>Activo</t>
        </is>
      </c>
      <c r="S14" s="5">
        <f>IF(Q14="","Sin venta",IF(TODAY()-Q14&lt;=90,"Estrella",IF(TODAY()-Q14&lt;=180,"Media",IF(TODAY()-Q14&lt;=365,"Lenta","Muerta"))))</f>
        <v/>
      </c>
      <c r="T14" s="5">
        <f>IF(G14="","Pendiente",IF(G14&gt;0,"OK","Revisar"))</f>
        <v/>
      </c>
      <c r="U14" s="4" t="n"/>
    </row>
    <row r="15">
      <c r="A15" s="3" t="inlineStr">
        <is>
          <t>HONDA64</t>
        </is>
      </c>
      <c r="B15" s="4" t="inlineStr">
        <is>
          <t>Honda Civic Radiador</t>
        </is>
      </c>
      <c r="C15" s="5" t="inlineStr">
        <is>
          <t>Honda</t>
        </is>
      </c>
      <c r="D15" s="5" t="inlineStr">
        <is>
          <t>Civic</t>
        </is>
      </c>
      <c r="E15" s="6" t="n">
        <v>2012</v>
      </c>
      <c r="F15" s="7" t="n">
        <v>1250</v>
      </c>
      <c r="G15" s="7" t="n">
        <v>3300</v>
      </c>
      <c r="H15" s="7">
        <f>IF(G15&gt;0,ROUNDUP(IF(G15-F15-250&lt;1200,F15+1200,G15-250)/50,0)*50,ROUNDUP((F15+1500)/50,0)*50)</f>
        <v/>
      </c>
      <c r="I15" s="7">
        <f>ROUNDUP(MAX(F15+800,H15*0.82)/50,0)*50</f>
        <v/>
      </c>
      <c r="J15" s="7">
        <f>H15-F15</f>
        <v/>
      </c>
      <c r="K15" s="7">
        <f>I15-F15</f>
        <v/>
      </c>
      <c r="L15" s="6" t="n">
        <v>3</v>
      </c>
      <c r="M15" s="6" t="n">
        <v>1</v>
      </c>
      <c r="N15" s="6" t="n">
        <v>3</v>
      </c>
      <c r="O15" s="4" t="inlineStr">
        <is>
          <t>Radiadores del Centro</t>
        </is>
      </c>
      <c r="P15" s="8" t="n">
        <v>46160</v>
      </c>
      <c r="Q15" s="8" t="n">
        <v>46130</v>
      </c>
      <c r="R15" s="5" t="inlineStr">
        <is>
          <t>Activo</t>
        </is>
      </c>
      <c r="S15" s="5">
        <f>IF(Q15="","Sin venta",IF(TODAY()-Q15&lt;=90,"Estrella",IF(TODAY()-Q15&lt;=180,"Media",IF(TODAY()-Q15&lt;=365,"Lenta","Muerta"))))</f>
        <v/>
      </c>
      <c r="T15" s="5">
        <f>IF(G15="","Pendiente",IF(G15&gt;0,"OK","Revisar"))</f>
        <v/>
      </c>
      <c r="U15" s="4" t="n"/>
    </row>
    <row r="16">
      <c r="A16" s="3" t="inlineStr">
        <is>
          <t>SUZUK16</t>
        </is>
      </c>
      <c r="B16" s="4" t="inlineStr">
        <is>
          <t>Suzuki Swift Radiador</t>
        </is>
      </c>
      <c r="C16" s="5" t="inlineStr">
        <is>
          <t>Suzuki</t>
        </is>
      </c>
      <c r="D16" s="5" t="inlineStr">
        <is>
          <t>Swift</t>
        </is>
      </c>
      <c r="E16" s="6" t="n">
        <v>2014</v>
      </c>
      <c r="F16" s="7" t="n">
        <v>900</v>
      </c>
      <c r="G16" s="7" t="n">
        <v>2600</v>
      </c>
      <c r="H16" s="7">
        <f>IF(G16&gt;0,ROUNDUP(IF(G16-F16-250&lt;1200,F16+1200,G16-250)/50,0)*50,ROUNDUP((F16+1500)/50,0)*50)</f>
        <v/>
      </c>
      <c r="I16" s="7">
        <f>ROUNDUP(MAX(F16+800,H16*0.82)/50,0)*50</f>
        <v/>
      </c>
      <c r="J16" s="7">
        <f>H16-F16</f>
        <v/>
      </c>
      <c r="K16" s="7">
        <f>I16-F16</f>
        <v/>
      </c>
      <c r="L16" s="6" t="n">
        <v>2</v>
      </c>
      <c r="M16" s="6" t="n">
        <v>1</v>
      </c>
      <c r="N16" s="6" t="n">
        <v>3</v>
      </c>
      <c r="O16" s="4" t="inlineStr">
        <is>
          <t>Radiadores del Centro</t>
        </is>
      </c>
      <c r="P16" s="8" t="n">
        <v>46181</v>
      </c>
      <c r="Q16" s="8" t="n">
        <v>46090</v>
      </c>
      <c r="R16" s="5" t="inlineStr">
        <is>
          <t>Activo</t>
        </is>
      </c>
      <c r="S16" s="5">
        <f>IF(Q16="","Sin venta",IF(TODAY()-Q16&lt;=90,"Estrella",IF(TODAY()-Q16&lt;=180,"Media",IF(TODAY()-Q16&lt;=365,"Lenta","Muerta"))))</f>
        <v/>
      </c>
      <c r="T16" s="5">
        <f>IF(G16="","Pendiente",IF(G16&gt;0,"OK","Revisar"))</f>
        <v/>
      </c>
      <c r="U16" s="4" t="n"/>
    </row>
    <row r="17">
      <c r="A17" s="3" t="inlineStr">
        <is>
          <t>BUICK22</t>
        </is>
      </c>
      <c r="B17" s="4" t="inlineStr">
        <is>
          <t>Buick Century Radiador</t>
        </is>
      </c>
      <c r="C17" s="5" t="inlineStr">
        <is>
          <t>Buick</t>
        </is>
      </c>
      <c r="D17" s="5" t="inlineStr">
        <is>
          <t>Century</t>
        </is>
      </c>
      <c r="E17" s="6" t="n">
        <v>2005</v>
      </c>
      <c r="F17" s="7" t="n">
        <v>600</v>
      </c>
      <c r="G17" s="7" t="n">
        <v>1900</v>
      </c>
      <c r="H17" s="7">
        <f>IF(G17&gt;0,ROUNDUP(IF(G17-F17-250&lt;1200,F17+1200,G17-250)/50,0)*50,ROUNDUP((F17+1500)/50,0)*50)</f>
        <v/>
      </c>
      <c r="I17" s="7">
        <f>ROUNDUP(MAX(F17+800,H17*0.82)/50,0)*50</f>
        <v/>
      </c>
      <c r="J17" s="7">
        <f>H17-F17</f>
        <v/>
      </c>
      <c r="K17" s="7">
        <f>I17-F17</f>
        <v/>
      </c>
      <c r="L17" s="6" t="n">
        <v>0</v>
      </c>
      <c r="M17" s="6" t="n">
        <v>1</v>
      </c>
      <c r="N17" s="6" t="n">
        <v>3</v>
      </c>
      <c r="O17" s="4" t="inlineStr">
        <is>
          <t>Radiadores del Centro</t>
        </is>
      </c>
      <c r="P17" s="8" t="n">
        <v>46173</v>
      </c>
      <c r="Q17" s="8" t="n">
        <v>45590</v>
      </c>
      <c r="R17" s="5" t="inlineStr">
        <is>
          <t>Activo</t>
        </is>
      </c>
      <c r="S17" s="5">
        <f>IF(Q17="","Sin venta",IF(TODAY()-Q17&lt;=90,"Estrella",IF(TODAY()-Q17&lt;=180,"Media",IF(TODAY()-Q17&lt;=365,"Lenta","Muerta"))))</f>
        <v/>
      </c>
      <c r="T17" s="5">
        <f>IF(G17="","Pendiente",IF(G17&gt;0,"OK","Revisar"))</f>
        <v/>
      </c>
      <c r="U17" s="4" t="inlineStr">
        <is>
          <t>Modelo antiguo, baja demanda</t>
        </is>
      </c>
    </row>
    <row r="18">
      <c r="A18" s="3" t="inlineStr">
        <is>
          <t>JEEP99</t>
        </is>
      </c>
      <c r="B18" s="4" t="inlineStr">
        <is>
          <t>Jeep Wrangler Radiador</t>
        </is>
      </c>
      <c r="C18" s="5" t="inlineStr">
        <is>
          <t>Jeep</t>
        </is>
      </c>
      <c r="D18" s="5" t="inlineStr">
        <is>
          <t>Wrangler</t>
        </is>
      </c>
      <c r="E18" s="6" t="n">
        <v>2013</v>
      </c>
      <c r="F18" s="7" t="n">
        <v>1800</v>
      </c>
      <c r="G18" s="7" t="n">
        <v>4800</v>
      </c>
      <c r="H18" s="7">
        <f>IF(G18&gt;0,ROUNDUP(IF(G18-F18-250&lt;1200,F18+1200,G18-250)/50,0)*50,ROUNDUP((F18+1500)/50,0)*50)</f>
        <v/>
      </c>
      <c r="I18" s="7">
        <f>ROUNDUP(MAX(F18+800,H18*0.82)/50,0)*50</f>
        <v/>
      </c>
      <c r="J18" s="7">
        <f>H18-F18</f>
        <v/>
      </c>
      <c r="K18" s="7">
        <f>I18-F18</f>
        <v/>
      </c>
      <c r="L18" s="6" t="n">
        <v>4</v>
      </c>
      <c r="M18" s="6" t="n">
        <v>1</v>
      </c>
      <c r="N18" s="6" t="n">
        <v>3</v>
      </c>
      <c r="O18" s="4" t="inlineStr">
        <is>
          <t>Radiadores del Centro</t>
        </is>
      </c>
      <c r="P18" s="8" t="n">
        <v>46186</v>
      </c>
      <c r="Q18" s="8" t="n">
        <v>46170</v>
      </c>
      <c r="R18" s="5" t="inlineStr">
        <is>
          <t>Activo</t>
        </is>
      </c>
      <c r="S18" s="5">
        <f>IF(Q18="","Sin venta",IF(TODAY()-Q18&lt;=90,"Estrella",IF(TODAY()-Q18&lt;=180,"Media",IF(TODAY()-Q18&lt;=365,"Lenta","Muerta"))))</f>
        <v/>
      </c>
      <c r="T18" s="5">
        <f>IF(G18="","Pendiente",IF(G18&gt;0,"OK","Revisar"))</f>
        <v/>
      </c>
      <c r="U18" s="4" t="n"/>
    </row>
    <row r="19">
      <c r="A19" s="3" t="inlineStr">
        <is>
          <t>LEXUS50</t>
        </is>
      </c>
      <c r="B19" s="4" t="inlineStr">
        <is>
          <t>Lexus RX350 Radiador</t>
        </is>
      </c>
      <c r="C19" s="5" t="inlineStr">
        <is>
          <t>Lexus</t>
        </is>
      </c>
      <c r="D19" s="5" t="inlineStr">
        <is>
          <t>RX350</t>
        </is>
      </c>
      <c r="E19" s="6" t="n">
        <v>2010</v>
      </c>
      <c r="F19" s="7" t="n">
        <v>4000</v>
      </c>
      <c r="G19" s="7" t="n">
        <v>9500</v>
      </c>
      <c r="H19" s="7">
        <f>IF(G19&gt;0,ROUNDUP(IF(G19-F19-250&lt;1200,F19+1200,G19-250)/50,0)*50,ROUNDUP((F19+1500)/50,0)*50)</f>
        <v/>
      </c>
      <c r="I19" s="7">
        <f>ROUNDUP(MAX(F19+800,H19*0.82)/50,0)*50</f>
        <v/>
      </c>
      <c r="J19" s="7">
        <f>H19-F19</f>
        <v/>
      </c>
      <c r="K19" s="7">
        <f>I19-F19</f>
        <v/>
      </c>
      <c r="L19" s="6" t="n">
        <v>1</v>
      </c>
      <c r="M19" s="6" t="n">
        <v>1</v>
      </c>
      <c r="N19" s="6" t="n">
        <v>3</v>
      </c>
      <c r="O19" s="4" t="inlineStr">
        <is>
          <t>Radiadores del Centro</t>
        </is>
      </c>
      <c r="P19" s="8" t="n">
        <v>46169</v>
      </c>
      <c r="Q19" s="8" t="n">
        <v>45910</v>
      </c>
      <c r="R19" s="5" t="inlineStr">
        <is>
          <t>Activo</t>
        </is>
      </c>
      <c r="S19" s="5">
        <f>IF(Q19="","Sin venta",IF(TODAY()-Q19&lt;=90,"Estrella",IF(TODAY()-Q19&lt;=180,"Media",IF(TODAY()-Q19&lt;=365,"Lenta","Muerta"))))</f>
        <v/>
      </c>
      <c r="T19" s="5">
        <f>IF(G19="","Pendiente",IF(G19&gt;0,"OK","Revisar"))</f>
        <v/>
      </c>
      <c r="U19" s="4" t="n"/>
    </row>
    <row r="20">
      <c r="A20" s="3" t="inlineStr">
        <is>
          <t>PEUGEOT11</t>
        </is>
      </c>
      <c r="B20" s="4" t="inlineStr">
        <is>
          <t>Peugeot 206 Radiador</t>
        </is>
      </c>
      <c r="C20" s="5" t="inlineStr">
        <is>
          <t>Peugeot</t>
        </is>
      </c>
      <c r="D20" s="5" t="inlineStr">
        <is>
          <t>206</t>
        </is>
      </c>
      <c r="E20" s="6" t="n">
        <v>2006</v>
      </c>
      <c r="F20" s="7" t="n">
        <v>750</v>
      </c>
      <c r="G20" s="7" t="n">
        <v>2400</v>
      </c>
      <c r="H20" s="7">
        <f>IF(G20&gt;0,ROUNDUP(IF(G20-F20-250&lt;1200,F20+1200,G20-250)/50,0)*50,ROUNDUP((F20+1500)/50,0)*50)</f>
        <v/>
      </c>
      <c r="I20" s="7">
        <f>ROUNDUP(MAX(F20+800,H20*0.82)/50,0)*50</f>
        <v/>
      </c>
      <c r="J20" s="7">
        <f>H20-F20</f>
        <v/>
      </c>
      <c r="K20" s="7">
        <f>I20-F20</f>
        <v/>
      </c>
      <c r="L20" s="6" t="n">
        <v>2</v>
      </c>
      <c r="M20" s="6" t="n">
        <v>1</v>
      </c>
      <c r="N20" s="6" t="n">
        <v>3</v>
      </c>
      <c r="O20" s="4" t="inlineStr">
        <is>
          <t>Radiadores del Centro</t>
        </is>
      </c>
      <c r="P20" s="8" t="n">
        <v>46179</v>
      </c>
      <c r="Q20" s="8" t="n">
        <v>46020</v>
      </c>
      <c r="R20" s="5" t="inlineStr">
        <is>
          <t>Activo</t>
        </is>
      </c>
      <c r="S20" s="5">
        <f>IF(Q20="","Sin venta",IF(TODAY()-Q20&lt;=90,"Estrella",IF(TODAY()-Q20&lt;=180,"Media",IF(TODAY()-Q20&lt;=365,"Lenta","Muerta"))))</f>
        <v/>
      </c>
      <c r="T20" s="5">
        <f>IF(G20="","Pendiente",IF(G20&gt;0,"OK","Revisar"))</f>
        <v/>
      </c>
      <c r="U20" s="4" t="n"/>
    </row>
    <row r="21">
      <c r="A21" s="3" t="inlineStr">
        <is>
          <t>RENAULT88</t>
        </is>
      </c>
      <c r="B21" s="4" t="inlineStr">
        <is>
          <t>Renault Duster Radiador</t>
        </is>
      </c>
      <c r="C21" s="5" t="inlineStr">
        <is>
          <t>Renault</t>
        </is>
      </c>
      <c r="D21" s="5" t="inlineStr">
        <is>
          <t>Duster</t>
        </is>
      </c>
      <c r="E21" s="6" t="n">
        <v>2015</v>
      </c>
      <c r="F21" s="7" t="n">
        <v>1200</v>
      </c>
      <c r="G21" s="7" t="n">
        <v>3300</v>
      </c>
      <c r="H21" s="7">
        <f>IF(G21&gt;0,ROUNDUP(IF(G21-F21-250&lt;1200,F21+1200,G21-250)/50,0)*50,ROUNDUP((F21+1500)/50,0)*50)</f>
        <v/>
      </c>
      <c r="I21" s="7">
        <f>ROUNDUP(MAX(F21+800,H21*0.82)/50,0)*50</f>
        <v/>
      </c>
      <c r="J21" s="7">
        <f>H21-F21</f>
        <v/>
      </c>
      <c r="K21" s="7">
        <f>I21-F21</f>
        <v/>
      </c>
      <c r="L21" s="6" t="n">
        <v>3</v>
      </c>
      <c r="M21" s="6" t="n">
        <v>1</v>
      </c>
      <c r="N21" s="6" t="n">
        <v>3</v>
      </c>
      <c r="O21" s="4" t="inlineStr">
        <is>
          <t>Radiadores del Centro</t>
        </is>
      </c>
      <c r="P21" s="8" t="n">
        <v>46163</v>
      </c>
      <c r="Q21" s="8" t="n">
        <v>46100</v>
      </c>
      <c r="R21" s="5" t="inlineStr">
        <is>
          <t>Activo</t>
        </is>
      </c>
      <c r="S21" s="5">
        <f>IF(Q21="","Sin venta",IF(TODAY()-Q21&lt;=90,"Estrella",IF(TODAY()-Q21&lt;=180,"Media",IF(TODAY()-Q21&lt;=365,"Lenta","Muerta"))))</f>
        <v/>
      </c>
      <c r="T21" s="5">
        <f>IF(G21="","Pendiente",IF(G21&gt;0,"OK","Revisar"))</f>
        <v/>
      </c>
      <c r="U21" s="4" t="n"/>
    </row>
  </sheetData>
  <autoFilter ref="A1:U21"/>
  <conditionalFormatting sqref="L2:L1000">
    <cfRule type="expression" priority="1" dxfId="0">
      <formula>$L2=0</formula>
    </cfRule>
    <cfRule type="expression" priority="2" dxfId="1">
      <formula>AND($L2&gt;0,$L2&lt;$M2)</formula>
    </cfRule>
    <cfRule type="expression" priority="3" dxfId="2">
      <formula>AND($L2&gt;=$M2,$L2&lt;$N2)</formula>
    </cfRule>
    <cfRule type="expression" priority="4" dxfId="3">
      <formula>$L2&gt;=$N2</formula>
    </cfRule>
  </conditionalFormatting>
  <conditionalFormatting sqref="S2:S1000">
    <cfRule type="cellIs" priority="5" operator="equal" dxfId="3">
      <formula>"Estrella"</formula>
    </cfRule>
    <cfRule type="cellIs" priority="6" operator="equal" dxfId="2">
      <formula>"Media"</formula>
    </cfRule>
    <cfRule type="cellIs" priority="7" operator="equal" dxfId="1">
      <formula>"Lenta"</formula>
    </cfRule>
    <cfRule type="cellIs" priority="8" operator="equal" dxfId="0">
      <formula>"Muerta"</formula>
    </cfRule>
    <cfRule type="cellIs" priority="9" operator="equal" dxfId="4">
      <formula>"Sin venta"</formula>
    </cfRule>
  </conditionalFormatting>
  <conditionalFormatting sqref="J2:J1000">
    <cfRule type="expression" priority="10" dxfId="0">
      <formula>$J2&lt;1200</formula>
    </cfRule>
    <cfRule type="expression" priority="11" dxfId="2">
      <formula>AND($J2&gt;=1200,$J2&lt;1500)</formula>
    </cfRule>
    <cfRule type="expression" priority="12" dxfId="3">
      <formula>$J2&gt;=1500</formula>
    </cfRule>
  </conditionalFormatting>
  <dataValidations count="6">
    <dataValidation sqref="A2:A1000" showDropDown="0" showInputMessage="0" showErrorMessage="1" allowBlank="1" errorTitle="DPI duplicado" error="Ese DPI ya existe en el catálogo. El DPI debe ser único." type="custom">
      <formula1>COUNTIF($A$2:$A$1000,A2)=1</formula1>
    </dataValidation>
    <dataValidation sqref="F2:F1000" showDropDown="0" showInputMessage="0" showErrorMessage="1" allowBlank="1" errorTitle="Precio inválido" error="El Precio Compra debe ser un número mayor a 0." type="decimal" operator="greaterThan">
      <formula1>0</formula1>
    </dataValidation>
    <dataValidation sqref="L2:L1000" showDropDown="0" showInputMessage="0" showErrorMessage="1" allowBlank="1" errorTitle="Stock inválido" error="El stock no puede ser negativo (debe ser 0 o mayor)." type="whole" operator="greaterThanOrEqual">
      <formula1>0</formula1>
    </dataValidation>
    <dataValidation sqref="M2:M1000" showDropDown="0" showInputMessage="0" showErrorMessage="1" allowBlank="1" errorTitle="Stock inválido" error="El stock no puede ser negativo (debe ser 0 o mayor)." type="whole" operator="greaterThanOrEqual">
      <formula1>0</formula1>
    </dataValidation>
    <dataValidation sqref="N2:N1000" showDropDown="0" showInputMessage="0" showErrorMessage="1" allowBlank="1" errorTitle="Stock inválido" error="El stock no puede ser negativo (debe ser 0 o mayor)." type="whole" operator="greaterThanOrEqual">
      <formula1>0</formula1>
    </dataValidation>
    <dataValidation sqref="R2:R1000" showDropDown="0" showInputMessage="0" showErrorMessage="1" allowBlank="1" errorTitle="Estado inválido" error="Selecciona Activo o Inactivo de la lista." type="list">
      <formula1>"Activo,Inactivo"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2026-06-17T20:35:10Z</dcterms:created>
  <dcterms:modified xsi:type="dcterms:W3CDTF">2026-06-17T20:35:10Z</dcterms:modified>
</cp:coreProperties>
</file>